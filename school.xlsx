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Lessons\DBS\"/>
    </mc:Choice>
  </mc:AlternateContent>
  <xr:revisionPtr revIDLastSave="0" documentId="13_ncr:1_{291BF54B-1BC1-47BE-93EE-DDDABB51DB94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instructor" sheetId="1" r:id="rId1"/>
    <sheet name="3-16" sheetId="7" r:id="rId2"/>
    <sheet name="teaches" sheetId="6" r:id="rId3"/>
    <sheet name="course" sheetId="2" r:id="rId4"/>
    <sheet name="prereq" sheetId="3" r:id="rId5"/>
    <sheet name="department" sheetId="4" r:id="rId6"/>
    <sheet name="section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7" l="1"/>
  <c r="N3" i="7"/>
  <c r="O3" i="7"/>
  <c r="M4" i="7"/>
  <c r="N4" i="7"/>
  <c r="O4" i="7"/>
  <c r="M5" i="7"/>
  <c r="N5" i="7"/>
  <c r="O5" i="7"/>
  <c r="M6" i="7"/>
  <c r="N6" i="7"/>
  <c r="O6" i="7"/>
  <c r="M7" i="7"/>
  <c r="N7" i="7"/>
  <c r="O7" i="7"/>
  <c r="M8" i="7"/>
  <c r="N8" i="7"/>
  <c r="O8" i="7"/>
  <c r="M9" i="7"/>
  <c r="N9" i="7"/>
  <c r="O9" i="7"/>
  <c r="M10" i="7"/>
  <c r="N10" i="7"/>
  <c r="O10" i="7"/>
  <c r="M11" i="7"/>
  <c r="N11" i="7"/>
  <c r="O11" i="7"/>
  <c r="M12" i="7"/>
  <c r="N12" i="7"/>
  <c r="O12" i="7"/>
  <c r="M13" i="7"/>
  <c r="N13" i="7"/>
  <c r="O13" i="7"/>
  <c r="M14" i="7"/>
  <c r="N14" i="7"/>
  <c r="O14" i="7"/>
  <c r="M15" i="7"/>
  <c r="N15" i="7"/>
  <c r="O15" i="7"/>
  <c r="M16" i="7"/>
  <c r="N16" i="7"/>
  <c r="O16" i="7"/>
  <c r="O2" i="7"/>
  <c r="N2" i="7"/>
  <c r="M2" i="7"/>
</calcChain>
</file>

<file path=xl/sharedStrings.xml><?xml version="1.0" encoding="utf-8"?>
<sst xmlns="http://schemas.openxmlformats.org/spreadsheetml/2006/main" count="272" uniqueCount="115">
  <si>
    <t>ID</t>
  </si>
  <si>
    <t>ID</t>
    <phoneticPr fontId="1" type="noConversion"/>
  </si>
  <si>
    <t>name</t>
  </si>
  <si>
    <t>name</t>
    <phoneticPr fontId="1" type="noConversion"/>
  </si>
  <si>
    <t>dept_name</t>
  </si>
  <si>
    <t>dept_name</t>
    <phoneticPr fontId="1" type="noConversion"/>
  </si>
  <si>
    <t>salary</t>
  </si>
  <si>
    <t>salary</t>
    <phoneticPr fontId="1" type="noConversion"/>
  </si>
  <si>
    <t>Srinivasan</t>
  </si>
  <si>
    <t>Srinivasan</t>
    <phoneticPr fontId="1" type="noConversion"/>
  </si>
  <si>
    <t>Wu</t>
  </si>
  <si>
    <t>Wu</t>
    <phoneticPr fontId="1" type="noConversion"/>
  </si>
  <si>
    <t>Mozart</t>
  </si>
  <si>
    <t>Mozart</t>
    <phoneticPr fontId="1" type="noConversion"/>
  </si>
  <si>
    <t>Einstein</t>
  </si>
  <si>
    <t>Einstein</t>
    <phoneticPr fontId="1" type="noConversion"/>
  </si>
  <si>
    <t>El Said</t>
  </si>
  <si>
    <t>El Said</t>
    <phoneticPr fontId="1" type="noConversion"/>
  </si>
  <si>
    <t>Gold</t>
  </si>
  <si>
    <t>Gold</t>
    <phoneticPr fontId="1" type="noConversion"/>
  </si>
  <si>
    <t>Katz</t>
  </si>
  <si>
    <t>Katz</t>
    <phoneticPr fontId="1" type="noConversion"/>
  </si>
  <si>
    <t>Califieri</t>
  </si>
  <si>
    <t>Califieri</t>
    <phoneticPr fontId="1" type="noConversion"/>
  </si>
  <si>
    <t>Singh</t>
  </si>
  <si>
    <t>Singh</t>
    <phoneticPr fontId="1" type="noConversion"/>
  </si>
  <si>
    <t>Crick</t>
  </si>
  <si>
    <t>Crick</t>
    <phoneticPr fontId="1" type="noConversion"/>
  </si>
  <si>
    <t>B</t>
  </si>
  <si>
    <t>Kim</t>
  </si>
  <si>
    <t>Kim</t>
    <phoneticPr fontId="1" type="noConversion"/>
  </si>
  <si>
    <t>Finance</t>
  </si>
  <si>
    <t>Finance</t>
    <phoneticPr fontId="1" type="noConversion"/>
  </si>
  <si>
    <t>Music</t>
  </si>
  <si>
    <t>Music</t>
    <phoneticPr fontId="1" type="noConversion"/>
  </si>
  <si>
    <t>Physics</t>
  </si>
  <si>
    <t>Physics</t>
    <phoneticPr fontId="1" type="noConversion"/>
  </si>
  <si>
    <t>History</t>
  </si>
  <si>
    <t>History</t>
    <phoneticPr fontId="1" type="noConversion"/>
  </si>
  <si>
    <t>Comp. Sci.</t>
  </si>
  <si>
    <t>Comp. Sci.</t>
    <phoneticPr fontId="1" type="noConversion"/>
  </si>
  <si>
    <t>Biology</t>
  </si>
  <si>
    <t>Biology</t>
    <phoneticPr fontId="1" type="noConversion"/>
  </si>
  <si>
    <t>Elec. Eng.</t>
  </si>
  <si>
    <t>Elec. Eng.</t>
    <phoneticPr fontId="1" type="noConversion"/>
  </si>
  <si>
    <t>course_id</t>
  </si>
  <si>
    <t>course_id</t>
    <phoneticPr fontId="1" type="noConversion"/>
  </si>
  <si>
    <t>title</t>
    <phoneticPr fontId="1" type="noConversion"/>
  </si>
  <si>
    <t>credits</t>
    <phoneticPr fontId="1" type="noConversion"/>
  </si>
  <si>
    <t>BIO-101</t>
  </si>
  <si>
    <t>BIO-101</t>
    <phoneticPr fontId="1" type="noConversion"/>
  </si>
  <si>
    <t>BIO-301</t>
  </si>
  <si>
    <t>BIO-301</t>
    <phoneticPr fontId="1" type="noConversion"/>
  </si>
  <si>
    <t>BIO-399</t>
    <phoneticPr fontId="1" type="noConversion"/>
  </si>
  <si>
    <t>CS-101</t>
  </si>
  <si>
    <t>CS-101</t>
    <phoneticPr fontId="1" type="noConversion"/>
  </si>
  <si>
    <t>CS-190</t>
  </si>
  <si>
    <t>CS-190</t>
    <phoneticPr fontId="1" type="noConversion"/>
  </si>
  <si>
    <t>CS-315</t>
  </si>
  <si>
    <t>CS-315</t>
    <phoneticPr fontId="1" type="noConversion"/>
  </si>
  <si>
    <t>CS-319</t>
  </si>
  <si>
    <t>CS-319</t>
    <phoneticPr fontId="1" type="noConversion"/>
  </si>
  <si>
    <t>CS-347</t>
  </si>
  <si>
    <t>CS-347</t>
    <phoneticPr fontId="1" type="noConversion"/>
  </si>
  <si>
    <t>EE-181</t>
  </si>
  <si>
    <t>EE-181</t>
    <phoneticPr fontId="1" type="noConversion"/>
  </si>
  <si>
    <t>FIN-201</t>
  </si>
  <si>
    <t>FIN-201</t>
    <phoneticPr fontId="1" type="noConversion"/>
  </si>
  <si>
    <t>HIS-251</t>
    <phoneticPr fontId="1" type="noConversion"/>
  </si>
  <si>
    <t>MU-199</t>
  </si>
  <si>
    <t>MU-199</t>
    <phoneticPr fontId="1" type="noConversion"/>
  </si>
  <si>
    <t>PHY-101</t>
  </si>
  <si>
    <t>PHY-101</t>
    <phoneticPr fontId="1" type="noConversion"/>
  </si>
  <si>
    <t>Intro. to Biology</t>
    <phoneticPr fontId="1" type="noConversion"/>
  </si>
  <si>
    <t>Genetics</t>
    <phoneticPr fontId="1" type="noConversion"/>
  </si>
  <si>
    <t>Computational Biology</t>
    <phoneticPr fontId="1" type="noConversion"/>
  </si>
  <si>
    <t>Intro. to Computer Science</t>
    <phoneticPr fontId="1" type="noConversion"/>
  </si>
  <si>
    <t>Game Design</t>
    <phoneticPr fontId="1" type="noConversion"/>
  </si>
  <si>
    <t>Robotics</t>
    <phoneticPr fontId="1" type="noConversion"/>
  </si>
  <si>
    <t>Image Processing</t>
    <phoneticPr fontId="1" type="noConversion"/>
  </si>
  <si>
    <t>Database System Concepts</t>
    <phoneticPr fontId="1" type="noConversion"/>
  </si>
  <si>
    <t>Intro. to Digital Systems</t>
    <phoneticPr fontId="1" type="noConversion"/>
  </si>
  <si>
    <t>Investment Banking</t>
    <phoneticPr fontId="1" type="noConversion"/>
  </si>
  <si>
    <t>World History</t>
    <phoneticPr fontId="1" type="noConversion"/>
  </si>
  <si>
    <t>Music Video Production</t>
    <phoneticPr fontId="1" type="noConversion"/>
  </si>
  <si>
    <t>Physical Principles</t>
    <phoneticPr fontId="1" type="noConversion"/>
  </si>
  <si>
    <t>prereq_id</t>
    <phoneticPr fontId="1" type="noConversion"/>
  </si>
  <si>
    <t>building</t>
  </si>
  <si>
    <t>building</t>
    <phoneticPr fontId="1" type="noConversion"/>
  </si>
  <si>
    <t>budget</t>
    <phoneticPr fontId="1" type="noConversion"/>
  </si>
  <si>
    <t>Watson</t>
  </si>
  <si>
    <t>Watson</t>
    <phoneticPr fontId="1" type="noConversion"/>
  </si>
  <si>
    <t>Taylor</t>
  </si>
  <si>
    <t>Taylor</t>
    <phoneticPr fontId="1" type="noConversion"/>
  </si>
  <si>
    <t>Painter</t>
  </si>
  <si>
    <t>Painter</t>
    <phoneticPr fontId="1" type="noConversion"/>
  </si>
  <si>
    <t>Packard</t>
  </si>
  <si>
    <t>Packard</t>
    <phoneticPr fontId="1" type="noConversion"/>
  </si>
  <si>
    <t>A</t>
  </si>
  <si>
    <t>D</t>
  </si>
  <si>
    <t>C</t>
  </si>
  <si>
    <t>sec_id</t>
  </si>
  <si>
    <t>semester</t>
  </si>
  <si>
    <t>year</t>
  </si>
  <si>
    <t>room_number</t>
  </si>
  <si>
    <t>time_slot_id</t>
  </si>
  <si>
    <t>Summer</t>
  </si>
  <si>
    <t>Fall</t>
  </si>
  <si>
    <t>H</t>
  </si>
  <si>
    <t>Spring</t>
  </si>
  <si>
    <t>F</t>
  </si>
  <si>
    <t>E</t>
  </si>
  <si>
    <t>HIS-351</t>
  </si>
  <si>
    <t>Brandt</t>
  </si>
  <si>
    <t>Brandt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</si>
</sst>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9701B0-E5C6-4C48-B0DC-62A90799B8ED}" name="表1" displayName="表1" ref="A1:D13" totalsRowShown="0">
  <autoFilter ref="A1:D13" xr:uid="{0B9701B0-E5C6-4C48-B0DC-62A90799B8ED}"/>
  <tableColumns count="4">
    <tableColumn id="1" xr3:uid="{48098C50-BD39-4E76-8FBC-CF1A2E1D8F05}" name="ID"/>
    <tableColumn id="2" xr3:uid="{7FDC3A75-2A5F-4178-8BA0-D4C5E639EEFC}" name="name"/>
    <tableColumn id="3" xr3:uid="{394FD48E-D62A-4A56-94F3-F37B9D65E231}" name="dept_name"/>
    <tableColumn id="4" xr3:uid="{998EAC97-D411-4764-B106-E2B608BD297E}" name="salary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568AAA6-122A-49AE-AE94-48E88B3CEDFB}" name="表5" displayName="表5" ref="H1:O16" totalsRowShown="0">
  <autoFilter ref="H1:O16" xr:uid="{F568AAA6-122A-49AE-AE94-48E88B3CEDFB}">
    <filterColumn colId="7">
      <customFilters>
        <customFilter operator="greaterThan" val="72000"/>
      </customFilters>
    </filterColumn>
  </autoFilter>
  <tableColumns count="8">
    <tableColumn id="1" xr3:uid="{44820CD5-1EDB-4481-8728-6DB35FED6CD7}" name="ID"/>
    <tableColumn id="2" xr3:uid="{622EC155-8ADB-4426-ADE8-FCD5B7BF8CCE}" name="course_id"/>
    <tableColumn id="3" xr3:uid="{F085A229-14A4-4FA9-BF24-2A8C0B3D801F}" name="sec_id"/>
    <tableColumn id="4" xr3:uid="{91DBAB41-521C-454F-90D3-7C917DB40BA6}" name="semester"/>
    <tableColumn id="5" xr3:uid="{A556D1CB-8354-4F3A-9401-97A8163C37C1}" name="year"/>
    <tableColumn id="6" xr3:uid="{49960962-C952-42A8-B928-48F55D478E8D}" name="name">
      <calculatedColumnFormula>VLOOKUP($H2,$A:$D,2,0)</calculatedColumnFormula>
    </tableColumn>
    <tableColumn id="7" xr3:uid="{19ED43BB-268F-427B-81AC-DB849192C28A}" name="dept_name">
      <calculatedColumnFormula>VLOOKUP($H2,$A:$D,3,0)</calculatedColumnFormula>
    </tableColumn>
    <tableColumn id="8" xr3:uid="{7BE8F1ED-52AC-4479-B10C-2FBF937BB1CE}" name="salary">
      <calculatedColumnFormula>VLOOKUP($H2,$A:$D,4,0)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B5F29C-9FCA-4218-AA6B-AF6442307C72}" name="表2" displayName="表2" ref="A1:D14" totalsRowShown="0">
  <autoFilter ref="A1:D14" xr:uid="{69B5F29C-9FCA-4218-AA6B-AF6442307C72}"/>
  <tableColumns count="4">
    <tableColumn id="1" xr3:uid="{B682F4C9-77E7-42BD-AE8B-20E8FC87EA0A}" name="course_id"/>
    <tableColumn id="2" xr3:uid="{B951D6EC-CC48-4381-8EC5-F11414372602}" name="title"/>
    <tableColumn id="3" xr3:uid="{016FB63A-D0D1-447B-8A8D-F402F5166AC6}" name="dept_name"/>
    <tableColumn id="4" xr3:uid="{7A2B1AC3-379C-4F7D-BC6F-EF8E4C1A02FA}" name="credits"/>
  </tableColumns>
  <tableStyleInfo name="TableStyleLight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5511EFE-CF61-498F-9EFA-9FB11280C299}" name="表3" displayName="表3" ref="A1:C8" totalsRowShown="0">
  <autoFilter ref="A1:C8" xr:uid="{A5511EFE-CF61-498F-9EFA-9FB11280C299}"/>
  <tableColumns count="3">
    <tableColumn id="1" xr3:uid="{C9DF5249-71B5-4FBA-A4BB-DF7B45359FD8}" name="dept_name"/>
    <tableColumn id="2" xr3:uid="{1EB21C6B-3E53-46A7-B04C-674A77E1A761}" name="building"/>
    <tableColumn id="3" xr3:uid="{513FB4FE-35EF-4291-B88E-A72E766E8067}" name="budget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zoomScale="160" zoomScaleNormal="160" workbookViewId="0">
      <selection activeCell="A13" sqref="A13"/>
    </sheetView>
  </sheetViews>
  <sheetFormatPr defaultRowHeight="14"/>
  <cols>
    <col min="3" max="3" width="11.4140625" customWidth="1"/>
  </cols>
  <sheetData>
    <row r="1" spans="1:4">
      <c r="A1" t="s">
        <v>1</v>
      </c>
      <c r="B1" t="s">
        <v>3</v>
      </c>
      <c r="C1" t="s">
        <v>5</v>
      </c>
      <c r="D1" t="s">
        <v>7</v>
      </c>
    </row>
    <row r="2" spans="1:4">
      <c r="A2">
        <v>10101</v>
      </c>
      <c r="B2" t="s">
        <v>9</v>
      </c>
      <c r="C2" t="s">
        <v>40</v>
      </c>
      <c r="D2">
        <v>65000</v>
      </c>
    </row>
    <row r="3" spans="1:4">
      <c r="A3">
        <v>12121</v>
      </c>
      <c r="B3" t="s">
        <v>11</v>
      </c>
      <c r="C3" t="s">
        <v>32</v>
      </c>
      <c r="D3">
        <v>90000</v>
      </c>
    </row>
    <row r="4" spans="1:4">
      <c r="A4">
        <v>15151</v>
      </c>
      <c r="B4" t="s">
        <v>13</v>
      </c>
      <c r="C4" t="s">
        <v>34</v>
      </c>
      <c r="D4">
        <v>40000</v>
      </c>
    </row>
    <row r="5" spans="1:4">
      <c r="A5">
        <v>22222</v>
      </c>
      <c r="B5" t="s">
        <v>15</v>
      </c>
      <c r="C5" t="s">
        <v>36</v>
      </c>
      <c r="D5">
        <v>95000</v>
      </c>
    </row>
    <row r="6" spans="1:4">
      <c r="A6">
        <v>32343</v>
      </c>
      <c r="B6" t="s">
        <v>17</v>
      </c>
      <c r="C6" t="s">
        <v>38</v>
      </c>
      <c r="D6">
        <v>60000</v>
      </c>
    </row>
    <row r="7" spans="1:4">
      <c r="A7">
        <v>33456</v>
      </c>
      <c r="B7" t="s">
        <v>19</v>
      </c>
      <c r="C7" t="s">
        <v>36</v>
      </c>
      <c r="D7">
        <v>87000</v>
      </c>
    </row>
    <row r="8" spans="1:4">
      <c r="A8">
        <v>45565</v>
      </c>
      <c r="B8" t="s">
        <v>21</v>
      </c>
      <c r="C8" t="s">
        <v>40</v>
      </c>
      <c r="D8">
        <v>75000</v>
      </c>
    </row>
    <row r="9" spans="1:4">
      <c r="A9">
        <v>58583</v>
      </c>
      <c r="B9" t="s">
        <v>23</v>
      </c>
      <c r="C9" t="s">
        <v>38</v>
      </c>
      <c r="D9">
        <v>62000</v>
      </c>
    </row>
    <row r="10" spans="1:4">
      <c r="A10">
        <v>76543</v>
      </c>
      <c r="B10" t="s">
        <v>25</v>
      </c>
      <c r="C10" t="s">
        <v>32</v>
      </c>
      <c r="D10">
        <v>80000</v>
      </c>
    </row>
    <row r="11" spans="1:4">
      <c r="A11">
        <v>76766</v>
      </c>
      <c r="B11" t="s">
        <v>27</v>
      </c>
      <c r="C11" t="s">
        <v>42</v>
      </c>
      <c r="D11">
        <v>72000</v>
      </c>
    </row>
    <row r="12" spans="1:4">
      <c r="A12">
        <v>83821</v>
      </c>
      <c r="B12" t="s">
        <v>114</v>
      </c>
      <c r="C12" t="s">
        <v>40</v>
      </c>
      <c r="D12">
        <v>92000</v>
      </c>
    </row>
    <row r="13" spans="1:4">
      <c r="A13">
        <v>98345</v>
      </c>
      <c r="B13" t="s">
        <v>30</v>
      </c>
      <c r="C13" t="s">
        <v>44</v>
      </c>
      <c r="D13">
        <v>80000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6DCD3-2862-44FB-9090-53C2BB61F433}">
  <dimension ref="A1:O16"/>
  <sheetViews>
    <sheetView tabSelected="1" workbookViewId="0">
      <selection activeCell="M13" sqref="M13"/>
    </sheetView>
  </sheetViews>
  <sheetFormatPr defaultRowHeight="14"/>
  <cols>
    <col min="9" max="9" width="10" customWidth="1"/>
    <col min="11" max="11" width="9.58203125" customWidth="1"/>
    <col min="14" max="14" width="11.4140625" customWidth="1"/>
  </cols>
  <sheetData>
    <row r="1" spans="1:15">
      <c r="A1" t="s">
        <v>0</v>
      </c>
      <c r="B1" t="s">
        <v>2</v>
      </c>
      <c r="C1" t="s">
        <v>4</v>
      </c>
      <c r="D1" t="s">
        <v>6</v>
      </c>
      <c r="H1" t="s">
        <v>0</v>
      </c>
      <c r="I1" t="s">
        <v>45</v>
      </c>
      <c r="J1" t="s">
        <v>101</v>
      </c>
      <c r="K1" t="s">
        <v>102</v>
      </c>
      <c r="L1" t="s">
        <v>103</v>
      </c>
      <c r="M1" t="s">
        <v>3</v>
      </c>
      <c r="N1" t="s">
        <v>5</v>
      </c>
      <c r="O1" t="s">
        <v>7</v>
      </c>
    </row>
    <row r="2" spans="1:15" hidden="1">
      <c r="A2">
        <v>10101</v>
      </c>
      <c r="B2" t="s">
        <v>8</v>
      </c>
      <c r="C2" t="s">
        <v>39</v>
      </c>
      <c r="D2">
        <v>65000</v>
      </c>
      <c r="H2">
        <v>10101</v>
      </c>
      <c r="I2" t="s">
        <v>54</v>
      </c>
      <c r="J2">
        <v>1</v>
      </c>
      <c r="K2" t="s">
        <v>107</v>
      </c>
      <c r="L2">
        <v>2009</v>
      </c>
      <c r="M2" t="str">
        <f>VLOOKUP($H2,$A:$D,2,0)</f>
        <v>Srinivasan</v>
      </c>
      <c r="N2" t="str">
        <f>VLOOKUP($H2,$A:$D,3,0)</f>
        <v>Comp. Sci.</v>
      </c>
      <c r="O2">
        <f>VLOOKUP($H2,$A:$D,4,0)</f>
        <v>65000</v>
      </c>
    </row>
    <row r="3" spans="1:15" hidden="1">
      <c r="A3">
        <v>12121</v>
      </c>
      <c r="B3" t="s">
        <v>10</v>
      </c>
      <c r="C3" t="s">
        <v>31</v>
      </c>
      <c r="D3">
        <v>90000</v>
      </c>
      <c r="H3">
        <v>10101</v>
      </c>
      <c r="I3" t="s">
        <v>58</v>
      </c>
      <c r="J3">
        <v>1</v>
      </c>
      <c r="K3" t="s">
        <v>109</v>
      </c>
      <c r="L3">
        <v>2010</v>
      </c>
      <c r="M3" t="str">
        <f t="shared" ref="M3:M16" si="0">VLOOKUP($H3,$A:$D,2,0)</f>
        <v>Srinivasan</v>
      </c>
      <c r="N3" t="str">
        <f t="shared" ref="N3:N16" si="1">VLOOKUP($H3,$A:$D,3,0)</f>
        <v>Comp. Sci.</v>
      </c>
      <c r="O3">
        <f t="shared" ref="O3:O16" si="2">VLOOKUP($H3,$A:$D,4,0)</f>
        <v>65000</v>
      </c>
    </row>
    <row r="4" spans="1:15" hidden="1">
      <c r="A4">
        <v>15151</v>
      </c>
      <c r="B4" t="s">
        <v>12</v>
      </c>
      <c r="C4" t="s">
        <v>33</v>
      </c>
      <c r="D4">
        <v>40000</v>
      </c>
      <c r="H4">
        <v>10101</v>
      </c>
      <c r="I4" t="s">
        <v>62</v>
      </c>
      <c r="J4">
        <v>1</v>
      </c>
      <c r="K4" t="s">
        <v>107</v>
      </c>
      <c r="L4">
        <v>2009</v>
      </c>
      <c r="M4" t="str">
        <f t="shared" si="0"/>
        <v>Srinivasan</v>
      </c>
      <c r="N4" t="str">
        <f t="shared" si="1"/>
        <v>Comp. Sci.</v>
      </c>
      <c r="O4">
        <f t="shared" si="2"/>
        <v>65000</v>
      </c>
    </row>
    <row r="5" spans="1:15">
      <c r="A5">
        <v>22222</v>
      </c>
      <c r="B5" t="s">
        <v>14</v>
      </c>
      <c r="C5" t="s">
        <v>35</v>
      </c>
      <c r="D5">
        <v>95000</v>
      </c>
      <c r="H5">
        <v>12121</v>
      </c>
      <c r="I5" t="s">
        <v>66</v>
      </c>
      <c r="J5">
        <v>1</v>
      </c>
      <c r="K5" t="s">
        <v>109</v>
      </c>
      <c r="L5">
        <v>2010</v>
      </c>
      <c r="M5" t="str">
        <f t="shared" si="0"/>
        <v>Wu</v>
      </c>
      <c r="N5" t="str">
        <f t="shared" si="1"/>
        <v>Finance</v>
      </c>
      <c r="O5">
        <f t="shared" si="2"/>
        <v>90000</v>
      </c>
    </row>
    <row r="6" spans="1:15" hidden="1">
      <c r="A6">
        <v>32343</v>
      </c>
      <c r="B6" t="s">
        <v>16</v>
      </c>
      <c r="C6" t="s">
        <v>37</v>
      </c>
      <c r="D6">
        <v>60000</v>
      </c>
      <c r="H6">
        <v>15151</v>
      </c>
      <c r="I6" t="s">
        <v>69</v>
      </c>
      <c r="J6">
        <v>1</v>
      </c>
      <c r="K6" t="s">
        <v>109</v>
      </c>
      <c r="L6">
        <v>2010</v>
      </c>
      <c r="M6" t="str">
        <f t="shared" si="0"/>
        <v>Mozart</v>
      </c>
      <c r="N6" t="str">
        <f t="shared" si="1"/>
        <v>Music</v>
      </c>
      <c r="O6">
        <f t="shared" si="2"/>
        <v>40000</v>
      </c>
    </row>
    <row r="7" spans="1:15">
      <c r="A7">
        <v>33456</v>
      </c>
      <c r="B7" t="s">
        <v>18</v>
      </c>
      <c r="C7" t="s">
        <v>35</v>
      </c>
      <c r="D7">
        <v>87000</v>
      </c>
      <c r="H7">
        <v>22222</v>
      </c>
      <c r="I7" t="s">
        <v>71</v>
      </c>
      <c r="J7">
        <v>1</v>
      </c>
      <c r="K7" t="s">
        <v>107</v>
      </c>
      <c r="L7">
        <v>2009</v>
      </c>
      <c r="M7" t="str">
        <f t="shared" si="0"/>
        <v>Einstein</v>
      </c>
      <c r="N7" t="str">
        <f t="shared" si="1"/>
        <v>Physics</v>
      </c>
      <c r="O7">
        <f t="shared" si="2"/>
        <v>95000</v>
      </c>
    </row>
    <row r="8" spans="1:15" hidden="1">
      <c r="A8">
        <v>45565</v>
      </c>
      <c r="B8" t="s">
        <v>20</v>
      </c>
      <c r="C8" t="s">
        <v>39</v>
      </c>
      <c r="D8">
        <v>75000</v>
      </c>
      <c r="H8">
        <v>32343</v>
      </c>
      <c r="I8" t="s">
        <v>112</v>
      </c>
      <c r="J8">
        <v>1</v>
      </c>
      <c r="K8" t="s">
        <v>109</v>
      </c>
      <c r="L8">
        <v>2010</v>
      </c>
      <c r="M8" t="str">
        <f t="shared" si="0"/>
        <v>El Said</v>
      </c>
      <c r="N8" t="str">
        <f t="shared" si="1"/>
        <v>History</v>
      </c>
      <c r="O8">
        <f t="shared" si="2"/>
        <v>60000</v>
      </c>
    </row>
    <row r="9" spans="1:15">
      <c r="A9">
        <v>58583</v>
      </c>
      <c r="B9" t="s">
        <v>22</v>
      </c>
      <c r="C9" t="s">
        <v>37</v>
      </c>
      <c r="D9">
        <v>62000</v>
      </c>
      <c r="H9">
        <v>45565</v>
      </c>
      <c r="I9" t="s">
        <v>54</v>
      </c>
      <c r="J9">
        <v>1</v>
      </c>
      <c r="K9" t="s">
        <v>109</v>
      </c>
      <c r="L9">
        <v>2010</v>
      </c>
      <c r="M9" t="str">
        <f t="shared" si="0"/>
        <v>Katz</v>
      </c>
      <c r="N9" t="str">
        <f t="shared" si="1"/>
        <v>Comp. Sci.</v>
      </c>
      <c r="O9">
        <f t="shared" si="2"/>
        <v>75000</v>
      </c>
    </row>
    <row r="10" spans="1:15">
      <c r="A10">
        <v>76543</v>
      </c>
      <c r="B10" t="s">
        <v>24</v>
      </c>
      <c r="C10" t="s">
        <v>31</v>
      </c>
      <c r="D10">
        <v>80000</v>
      </c>
      <c r="H10">
        <v>45565</v>
      </c>
      <c r="I10" t="s">
        <v>60</v>
      </c>
      <c r="J10">
        <v>1</v>
      </c>
      <c r="K10" t="s">
        <v>109</v>
      </c>
      <c r="L10">
        <v>2010</v>
      </c>
      <c r="M10" t="str">
        <f t="shared" si="0"/>
        <v>Katz</v>
      </c>
      <c r="N10" t="str">
        <f t="shared" si="1"/>
        <v>Comp. Sci.</v>
      </c>
      <c r="O10">
        <f t="shared" si="2"/>
        <v>75000</v>
      </c>
    </row>
    <row r="11" spans="1:15" hidden="1">
      <c r="A11">
        <v>76766</v>
      </c>
      <c r="B11" t="s">
        <v>26</v>
      </c>
      <c r="C11" t="s">
        <v>41</v>
      </c>
      <c r="D11">
        <v>72000</v>
      </c>
      <c r="H11">
        <v>76766</v>
      </c>
      <c r="I11" t="s">
        <v>49</v>
      </c>
      <c r="J11">
        <v>1</v>
      </c>
      <c r="K11" t="s">
        <v>106</v>
      </c>
      <c r="L11">
        <v>2009</v>
      </c>
      <c r="M11" t="str">
        <f t="shared" si="0"/>
        <v>Crick</v>
      </c>
      <c r="N11" t="str">
        <f t="shared" si="1"/>
        <v>Biology</v>
      </c>
      <c r="O11">
        <f t="shared" si="2"/>
        <v>72000</v>
      </c>
    </row>
    <row r="12" spans="1:15" hidden="1">
      <c r="A12">
        <v>83821</v>
      </c>
      <c r="B12" t="s">
        <v>113</v>
      </c>
      <c r="C12" t="s">
        <v>39</v>
      </c>
      <c r="D12">
        <v>92000</v>
      </c>
      <c r="H12">
        <v>76766</v>
      </c>
      <c r="I12" t="s">
        <v>51</v>
      </c>
      <c r="J12">
        <v>1</v>
      </c>
      <c r="K12" t="s">
        <v>106</v>
      </c>
      <c r="L12">
        <v>2010</v>
      </c>
      <c r="M12" t="str">
        <f t="shared" si="0"/>
        <v>Crick</v>
      </c>
      <c r="N12" t="str">
        <f t="shared" si="1"/>
        <v>Biology</v>
      </c>
      <c r="O12">
        <f t="shared" si="2"/>
        <v>72000</v>
      </c>
    </row>
    <row r="13" spans="1:15">
      <c r="A13">
        <v>98345</v>
      </c>
      <c r="B13" t="s">
        <v>29</v>
      </c>
      <c r="C13" t="s">
        <v>43</v>
      </c>
      <c r="D13">
        <v>80000</v>
      </c>
      <c r="H13">
        <v>83821</v>
      </c>
      <c r="I13" t="s">
        <v>56</v>
      </c>
      <c r="J13">
        <v>1</v>
      </c>
      <c r="K13" t="s">
        <v>109</v>
      </c>
      <c r="L13">
        <v>2009</v>
      </c>
      <c r="M13" t="str">
        <f t="shared" si="0"/>
        <v>Brandt</v>
      </c>
      <c r="N13" t="str">
        <f t="shared" si="1"/>
        <v>Comp. Sci.</v>
      </c>
      <c r="O13">
        <f t="shared" si="2"/>
        <v>92000</v>
      </c>
    </row>
    <row r="14" spans="1:15">
      <c r="H14">
        <v>83821</v>
      </c>
      <c r="I14" t="s">
        <v>56</v>
      </c>
      <c r="J14">
        <v>2</v>
      </c>
      <c r="K14" t="s">
        <v>109</v>
      </c>
      <c r="L14">
        <v>2009</v>
      </c>
      <c r="M14" t="str">
        <f t="shared" si="0"/>
        <v>Brandt</v>
      </c>
      <c r="N14" t="str">
        <f t="shared" si="1"/>
        <v>Comp. Sci.</v>
      </c>
      <c r="O14">
        <f t="shared" si="2"/>
        <v>92000</v>
      </c>
    </row>
    <row r="15" spans="1:15">
      <c r="H15">
        <v>83821</v>
      </c>
      <c r="I15" t="s">
        <v>60</v>
      </c>
      <c r="J15">
        <v>2</v>
      </c>
      <c r="K15" t="s">
        <v>109</v>
      </c>
      <c r="L15">
        <v>2010</v>
      </c>
      <c r="M15" t="str">
        <f t="shared" si="0"/>
        <v>Brandt</v>
      </c>
      <c r="N15" t="str">
        <f t="shared" si="1"/>
        <v>Comp. Sci.</v>
      </c>
      <c r="O15">
        <f t="shared" si="2"/>
        <v>92000</v>
      </c>
    </row>
    <row r="16" spans="1:15">
      <c r="H16">
        <v>98345</v>
      </c>
      <c r="I16" t="s">
        <v>64</v>
      </c>
      <c r="J16">
        <v>1</v>
      </c>
      <c r="K16" t="s">
        <v>109</v>
      </c>
      <c r="L16">
        <v>2009</v>
      </c>
      <c r="M16" t="str">
        <f t="shared" si="0"/>
        <v>Kim</v>
      </c>
      <c r="N16" t="str">
        <f t="shared" si="1"/>
        <v>Elec. Eng.</v>
      </c>
      <c r="O16">
        <f t="shared" si="2"/>
        <v>80000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314E6-DC14-4180-B602-A41EA6897282}">
  <dimension ref="A1:E16"/>
  <sheetViews>
    <sheetView workbookViewId="0">
      <selection sqref="A1:E16"/>
    </sheetView>
  </sheetViews>
  <sheetFormatPr defaultRowHeight="14"/>
  <sheetData>
    <row r="1" spans="1:5">
      <c r="A1" t="s">
        <v>0</v>
      </c>
      <c r="B1" t="s">
        <v>45</v>
      </c>
      <c r="C1" t="s">
        <v>101</v>
      </c>
      <c r="D1" t="s">
        <v>102</v>
      </c>
      <c r="E1" t="s">
        <v>103</v>
      </c>
    </row>
    <row r="2" spans="1:5">
      <c r="A2">
        <v>10101</v>
      </c>
      <c r="B2" t="s">
        <v>54</v>
      </c>
      <c r="C2">
        <v>1</v>
      </c>
      <c r="D2" t="s">
        <v>107</v>
      </c>
      <c r="E2">
        <v>2009</v>
      </c>
    </row>
    <row r="3" spans="1:5">
      <c r="A3">
        <v>10101</v>
      </c>
      <c r="B3" t="s">
        <v>58</v>
      </c>
      <c r="C3">
        <v>1</v>
      </c>
      <c r="D3" t="s">
        <v>109</v>
      </c>
      <c r="E3">
        <v>2010</v>
      </c>
    </row>
    <row r="4" spans="1:5">
      <c r="A4">
        <v>10101</v>
      </c>
      <c r="B4" t="s">
        <v>62</v>
      </c>
      <c r="C4">
        <v>1</v>
      </c>
      <c r="D4" t="s">
        <v>107</v>
      </c>
      <c r="E4">
        <v>2009</v>
      </c>
    </row>
    <row r="5" spans="1:5">
      <c r="A5">
        <v>12121</v>
      </c>
      <c r="B5" t="s">
        <v>66</v>
      </c>
      <c r="C5">
        <v>1</v>
      </c>
      <c r="D5" t="s">
        <v>109</v>
      </c>
      <c r="E5">
        <v>2010</v>
      </c>
    </row>
    <row r="6" spans="1:5">
      <c r="A6">
        <v>15151</v>
      </c>
      <c r="B6" t="s">
        <v>69</v>
      </c>
      <c r="C6">
        <v>1</v>
      </c>
      <c r="D6" t="s">
        <v>109</v>
      </c>
      <c r="E6">
        <v>2010</v>
      </c>
    </row>
    <row r="7" spans="1:5">
      <c r="A7">
        <v>22222</v>
      </c>
      <c r="B7" t="s">
        <v>71</v>
      </c>
      <c r="C7">
        <v>1</v>
      </c>
      <c r="D7" t="s">
        <v>107</v>
      </c>
      <c r="E7">
        <v>2009</v>
      </c>
    </row>
    <row r="8" spans="1:5">
      <c r="A8">
        <v>32343</v>
      </c>
      <c r="B8" t="s">
        <v>112</v>
      </c>
      <c r="C8">
        <v>1</v>
      </c>
      <c r="D8" t="s">
        <v>109</v>
      </c>
      <c r="E8">
        <v>2010</v>
      </c>
    </row>
    <row r="9" spans="1:5">
      <c r="A9">
        <v>45565</v>
      </c>
      <c r="B9" t="s">
        <v>54</v>
      </c>
      <c r="C9">
        <v>1</v>
      </c>
      <c r="D9" t="s">
        <v>109</v>
      </c>
      <c r="E9">
        <v>2010</v>
      </c>
    </row>
    <row r="10" spans="1:5">
      <c r="A10">
        <v>45565</v>
      </c>
      <c r="B10" t="s">
        <v>60</v>
      </c>
      <c r="C10">
        <v>1</v>
      </c>
      <c r="D10" t="s">
        <v>109</v>
      </c>
      <c r="E10">
        <v>2010</v>
      </c>
    </row>
    <row r="11" spans="1:5">
      <c r="A11">
        <v>76766</v>
      </c>
      <c r="B11" t="s">
        <v>49</v>
      </c>
      <c r="C11">
        <v>1</v>
      </c>
      <c r="D11" t="s">
        <v>106</v>
      </c>
      <c r="E11">
        <v>2009</v>
      </c>
    </row>
    <row r="12" spans="1:5">
      <c r="A12">
        <v>76766</v>
      </c>
      <c r="B12" t="s">
        <v>51</v>
      </c>
      <c r="C12">
        <v>1</v>
      </c>
      <c r="D12" t="s">
        <v>106</v>
      </c>
      <c r="E12">
        <v>2010</v>
      </c>
    </row>
    <row r="13" spans="1:5">
      <c r="A13">
        <v>83821</v>
      </c>
      <c r="B13" t="s">
        <v>56</v>
      </c>
      <c r="C13">
        <v>1</v>
      </c>
      <c r="D13" t="s">
        <v>109</v>
      </c>
      <c r="E13">
        <v>2009</v>
      </c>
    </row>
    <row r="14" spans="1:5">
      <c r="A14">
        <v>83821</v>
      </c>
      <c r="B14" t="s">
        <v>56</v>
      </c>
      <c r="C14">
        <v>2</v>
      </c>
      <c r="D14" t="s">
        <v>109</v>
      </c>
      <c r="E14">
        <v>2009</v>
      </c>
    </row>
    <row r="15" spans="1:5">
      <c r="A15">
        <v>83821</v>
      </c>
      <c r="B15" t="s">
        <v>60</v>
      </c>
      <c r="C15">
        <v>2</v>
      </c>
      <c r="D15" t="s">
        <v>109</v>
      </c>
      <c r="E15">
        <v>2010</v>
      </c>
    </row>
    <row r="16" spans="1:5">
      <c r="A16">
        <v>98345</v>
      </c>
      <c r="B16" t="s">
        <v>64</v>
      </c>
      <c r="C16">
        <v>1</v>
      </c>
      <c r="D16" t="s">
        <v>109</v>
      </c>
      <c r="E16">
        <v>2009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4CB6B-87EA-42C1-83FF-66DF2E93F091}">
  <dimension ref="A1:D14"/>
  <sheetViews>
    <sheetView zoomScale="130" zoomScaleNormal="130" workbookViewId="0">
      <selection activeCell="C1" sqref="C1"/>
    </sheetView>
  </sheetViews>
  <sheetFormatPr defaultRowHeight="14"/>
  <cols>
    <col min="1" max="1" width="10" customWidth="1"/>
    <col min="3" max="3" width="11.4140625" customWidth="1"/>
  </cols>
  <sheetData>
    <row r="1" spans="1:4">
      <c r="A1" t="s">
        <v>46</v>
      </c>
      <c r="B1" t="s">
        <v>47</v>
      </c>
      <c r="C1" t="s">
        <v>5</v>
      </c>
      <c r="D1" t="s">
        <v>48</v>
      </c>
    </row>
    <row r="2" spans="1:4">
      <c r="A2" t="s">
        <v>50</v>
      </c>
      <c r="B2" t="s">
        <v>73</v>
      </c>
      <c r="C2" t="s">
        <v>42</v>
      </c>
      <c r="D2">
        <v>4</v>
      </c>
    </row>
    <row r="3" spans="1:4">
      <c r="A3" t="s">
        <v>52</v>
      </c>
      <c r="B3" t="s">
        <v>74</v>
      </c>
      <c r="C3" t="s">
        <v>42</v>
      </c>
      <c r="D3">
        <v>4</v>
      </c>
    </row>
    <row r="4" spans="1:4">
      <c r="A4" t="s">
        <v>53</v>
      </c>
      <c r="B4" t="s">
        <v>75</v>
      </c>
      <c r="C4" t="s">
        <v>42</v>
      </c>
      <c r="D4">
        <v>3</v>
      </c>
    </row>
    <row r="5" spans="1:4">
      <c r="A5" t="s">
        <v>55</v>
      </c>
      <c r="B5" t="s">
        <v>76</v>
      </c>
      <c r="C5" t="s">
        <v>40</v>
      </c>
      <c r="D5">
        <v>4</v>
      </c>
    </row>
    <row r="6" spans="1:4">
      <c r="A6" t="s">
        <v>57</v>
      </c>
      <c r="B6" t="s">
        <v>77</v>
      </c>
      <c r="C6" t="s">
        <v>40</v>
      </c>
      <c r="D6">
        <v>4</v>
      </c>
    </row>
    <row r="7" spans="1:4">
      <c r="A7" t="s">
        <v>59</v>
      </c>
      <c r="B7" t="s">
        <v>78</v>
      </c>
      <c r="C7" t="s">
        <v>40</v>
      </c>
      <c r="D7">
        <v>3</v>
      </c>
    </row>
    <row r="8" spans="1:4">
      <c r="A8" t="s">
        <v>61</v>
      </c>
      <c r="B8" t="s">
        <v>79</v>
      </c>
      <c r="C8" t="s">
        <v>40</v>
      </c>
      <c r="D8">
        <v>3</v>
      </c>
    </row>
    <row r="9" spans="1:4">
      <c r="A9" t="s">
        <v>63</v>
      </c>
      <c r="B9" t="s">
        <v>80</v>
      </c>
      <c r="C9" t="s">
        <v>40</v>
      </c>
      <c r="D9">
        <v>3</v>
      </c>
    </row>
    <row r="10" spans="1:4">
      <c r="A10" t="s">
        <v>65</v>
      </c>
      <c r="B10" t="s">
        <v>81</v>
      </c>
      <c r="C10" t="s">
        <v>44</v>
      </c>
      <c r="D10">
        <v>3</v>
      </c>
    </row>
    <row r="11" spans="1:4">
      <c r="A11" t="s">
        <v>67</v>
      </c>
      <c r="B11" t="s">
        <v>82</v>
      </c>
      <c r="C11" t="s">
        <v>32</v>
      </c>
      <c r="D11">
        <v>3</v>
      </c>
    </row>
    <row r="12" spans="1:4">
      <c r="A12" t="s">
        <v>68</v>
      </c>
      <c r="B12" t="s">
        <v>83</v>
      </c>
      <c r="C12" t="s">
        <v>38</v>
      </c>
      <c r="D12">
        <v>3</v>
      </c>
    </row>
    <row r="13" spans="1:4">
      <c r="A13" t="s">
        <v>70</v>
      </c>
      <c r="B13" t="s">
        <v>84</v>
      </c>
      <c r="C13" t="s">
        <v>34</v>
      </c>
      <c r="D13">
        <v>3</v>
      </c>
    </row>
    <row r="14" spans="1:4">
      <c r="A14" t="s">
        <v>72</v>
      </c>
      <c r="B14" t="s">
        <v>85</v>
      </c>
      <c r="C14" t="s">
        <v>36</v>
      </c>
      <c r="D14">
        <v>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3DD7A-7086-4E41-A19C-4627918EBF0D}">
  <dimension ref="A1:B8"/>
  <sheetViews>
    <sheetView workbookViewId="0">
      <selection activeCell="B9" sqref="B9"/>
    </sheetView>
  </sheetViews>
  <sheetFormatPr defaultRowHeight="14"/>
  <sheetData>
    <row r="1" spans="1:2">
      <c r="A1" t="s">
        <v>46</v>
      </c>
      <c r="B1" t="s">
        <v>86</v>
      </c>
    </row>
    <row r="2" spans="1:2">
      <c r="A2" t="s">
        <v>52</v>
      </c>
      <c r="B2" t="s">
        <v>50</v>
      </c>
    </row>
    <row r="3" spans="1:2">
      <c r="A3" t="s">
        <v>53</v>
      </c>
      <c r="B3" t="s">
        <v>50</v>
      </c>
    </row>
    <row r="4" spans="1:2">
      <c r="A4" t="s">
        <v>57</v>
      </c>
      <c r="B4" t="s">
        <v>55</v>
      </c>
    </row>
    <row r="5" spans="1:2">
      <c r="A5" t="s">
        <v>59</v>
      </c>
      <c r="B5" t="s">
        <v>55</v>
      </c>
    </row>
    <row r="6" spans="1:2">
      <c r="A6" t="s">
        <v>61</v>
      </c>
      <c r="B6" t="s">
        <v>55</v>
      </c>
    </row>
    <row r="7" spans="1:2">
      <c r="A7" t="s">
        <v>63</v>
      </c>
      <c r="B7" t="s">
        <v>55</v>
      </c>
    </row>
    <row r="8" spans="1:2">
      <c r="A8" t="s">
        <v>65</v>
      </c>
      <c r="B8" t="s">
        <v>72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2168C-D7D5-46EC-9071-CF2EC5F840BD}">
  <dimension ref="A1:C8"/>
  <sheetViews>
    <sheetView zoomScale="160" zoomScaleNormal="160" workbookViewId="0">
      <selection activeCell="D8" sqref="D8"/>
    </sheetView>
  </sheetViews>
  <sheetFormatPr defaultRowHeight="14"/>
  <cols>
    <col min="1" max="1" width="11.4140625" customWidth="1"/>
    <col min="2" max="2" width="9.08203125" customWidth="1"/>
  </cols>
  <sheetData>
    <row r="1" spans="1:3">
      <c r="A1" t="s">
        <v>5</v>
      </c>
      <c r="B1" t="s">
        <v>88</v>
      </c>
      <c r="C1" t="s">
        <v>89</v>
      </c>
    </row>
    <row r="2" spans="1:3">
      <c r="A2" t="s">
        <v>42</v>
      </c>
      <c r="B2" t="s">
        <v>91</v>
      </c>
      <c r="C2">
        <v>90000</v>
      </c>
    </row>
    <row r="3" spans="1:3">
      <c r="A3" t="s">
        <v>40</v>
      </c>
      <c r="B3" t="s">
        <v>93</v>
      </c>
      <c r="C3">
        <v>100000</v>
      </c>
    </row>
    <row r="4" spans="1:3">
      <c r="A4" t="s">
        <v>44</v>
      </c>
      <c r="B4" t="s">
        <v>93</v>
      </c>
      <c r="C4">
        <v>85000</v>
      </c>
    </row>
    <row r="5" spans="1:3">
      <c r="A5" t="s">
        <v>32</v>
      </c>
      <c r="B5" t="s">
        <v>95</v>
      </c>
      <c r="C5">
        <v>120000</v>
      </c>
    </row>
    <row r="6" spans="1:3">
      <c r="A6" t="s">
        <v>38</v>
      </c>
      <c r="B6" t="s">
        <v>95</v>
      </c>
      <c r="C6">
        <v>50000</v>
      </c>
    </row>
    <row r="7" spans="1:3">
      <c r="A7" t="s">
        <v>34</v>
      </c>
      <c r="B7" t="s">
        <v>97</v>
      </c>
      <c r="C7">
        <v>80000</v>
      </c>
    </row>
    <row r="8" spans="1:3">
      <c r="A8" t="s">
        <v>36</v>
      </c>
      <c r="B8" t="s">
        <v>91</v>
      </c>
      <c r="C8">
        <v>70000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C3F96-CBF7-4FAF-A632-09D905EF478E}">
  <dimension ref="A1:G18"/>
  <sheetViews>
    <sheetView workbookViewId="0">
      <selection activeCell="F6" sqref="F6"/>
    </sheetView>
  </sheetViews>
  <sheetFormatPr defaultRowHeight="14"/>
  <sheetData>
    <row r="1" spans="1:7">
      <c r="A1" t="s">
        <v>45</v>
      </c>
      <c r="B1" t="s">
        <v>101</v>
      </c>
      <c r="C1" t="s">
        <v>102</v>
      </c>
      <c r="D1" t="s">
        <v>103</v>
      </c>
      <c r="E1" t="s">
        <v>87</v>
      </c>
      <c r="F1" t="s">
        <v>104</v>
      </c>
      <c r="G1" t="s">
        <v>105</v>
      </c>
    </row>
    <row r="2" spans="1:7">
      <c r="A2" t="s">
        <v>49</v>
      </c>
      <c r="B2">
        <v>1</v>
      </c>
      <c r="C2" t="s">
        <v>106</v>
      </c>
      <c r="D2">
        <v>2009</v>
      </c>
      <c r="E2" t="s">
        <v>94</v>
      </c>
      <c r="F2">
        <v>514</v>
      </c>
      <c r="G2" t="s">
        <v>28</v>
      </c>
    </row>
    <row r="3" spans="1:7">
      <c r="A3" t="s">
        <v>51</v>
      </c>
      <c r="B3">
        <v>1</v>
      </c>
      <c r="C3" t="s">
        <v>106</v>
      </c>
      <c r="D3">
        <v>2010</v>
      </c>
      <c r="E3" t="s">
        <v>94</v>
      </c>
      <c r="F3">
        <v>514</v>
      </c>
      <c r="G3" t="s">
        <v>98</v>
      </c>
    </row>
    <row r="4" spans="1:7">
      <c r="A4" t="s">
        <v>54</v>
      </c>
      <c r="B4">
        <v>1</v>
      </c>
      <c r="C4" t="s">
        <v>107</v>
      </c>
      <c r="D4">
        <v>2009</v>
      </c>
      <c r="E4" t="s">
        <v>96</v>
      </c>
      <c r="F4">
        <v>101</v>
      </c>
      <c r="G4" t="s">
        <v>108</v>
      </c>
    </row>
    <row r="5" spans="1:7">
      <c r="A5" t="s">
        <v>54</v>
      </c>
      <c r="B5">
        <v>1</v>
      </c>
      <c r="C5" t="s">
        <v>109</v>
      </c>
      <c r="D5">
        <v>2010</v>
      </c>
      <c r="E5" t="s">
        <v>96</v>
      </c>
      <c r="F5">
        <v>101</v>
      </c>
      <c r="G5" t="s">
        <v>110</v>
      </c>
    </row>
    <row r="6" spans="1:7">
      <c r="A6" t="s">
        <v>56</v>
      </c>
      <c r="B6">
        <v>1</v>
      </c>
      <c r="C6" t="s">
        <v>109</v>
      </c>
      <c r="D6">
        <v>2009</v>
      </c>
      <c r="E6" t="s">
        <v>92</v>
      </c>
      <c r="F6">
        <v>3128</v>
      </c>
      <c r="G6" t="s">
        <v>111</v>
      </c>
    </row>
    <row r="7" spans="1:7">
      <c r="A7" t="s">
        <v>56</v>
      </c>
      <c r="B7">
        <v>2</v>
      </c>
      <c r="C7" t="s">
        <v>109</v>
      </c>
      <c r="D7">
        <v>2009</v>
      </c>
      <c r="E7" t="s">
        <v>92</v>
      </c>
      <c r="F7">
        <v>3128</v>
      </c>
      <c r="G7" t="s">
        <v>98</v>
      </c>
    </row>
    <row r="8" spans="1:7">
      <c r="A8" t="s">
        <v>58</v>
      </c>
      <c r="B8">
        <v>1</v>
      </c>
      <c r="C8" t="s">
        <v>109</v>
      </c>
      <c r="D8">
        <v>2010</v>
      </c>
      <c r="E8" t="s">
        <v>90</v>
      </c>
      <c r="F8">
        <v>120</v>
      </c>
      <c r="G8" t="s">
        <v>99</v>
      </c>
    </row>
    <row r="9" spans="1:7">
      <c r="A9" t="s">
        <v>60</v>
      </c>
      <c r="B9">
        <v>1</v>
      </c>
      <c r="C9" t="s">
        <v>109</v>
      </c>
      <c r="D9">
        <v>2010</v>
      </c>
      <c r="E9" t="s">
        <v>90</v>
      </c>
      <c r="F9">
        <v>100</v>
      </c>
      <c r="G9" t="s">
        <v>28</v>
      </c>
    </row>
    <row r="10" spans="1:7">
      <c r="A10" t="s">
        <v>60</v>
      </c>
      <c r="B10">
        <v>2</v>
      </c>
      <c r="C10" t="s">
        <v>109</v>
      </c>
      <c r="D10">
        <v>2010</v>
      </c>
      <c r="E10" t="s">
        <v>92</v>
      </c>
      <c r="F10">
        <v>3128</v>
      </c>
      <c r="G10" t="s">
        <v>100</v>
      </c>
    </row>
    <row r="11" spans="1:7">
      <c r="A11" t="s">
        <v>62</v>
      </c>
      <c r="B11">
        <v>1</v>
      </c>
      <c r="C11" t="s">
        <v>107</v>
      </c>
      <c r="D11">
        <v>2009</v>
      </c>
      <c r="E11" t="s">
        <v>92</v>
      </c>
      <c r="F11">
        <v>3128</v>
      </c>
      <c r="G11" t="s">
        <v>98</v>
      </c>
    </row>
    <row r="12" spans="1:7">
      <c r="A12" t="s">
        <v>64</v>
      </c>
      <c r="B12">
        <v>1</v>
      </c>
      <c r="C12" t="s">
        <v>109</v>
      </c>
      <c r="D12">
        <v>2009</v>
      </c>
      <c r="E12" t="s">
        <v>92</v>
      </c>
      <c r="F12">
        <v>3128</v>
      </c>
      <c r="G12" t="s">
        <v>100</v>
      </c>
    </row>
    <row r="13" spans="1:7">
      <c r="A13" t="s">
        <v>66</v>
      </c>
      <c r="B13">
        <v>1</v>
      </c>
      <c r="C13" t="s">
        <v>109</v>
      </c>
      <c r="D13">
        <v>2010</v>
      </c>
      <c r="E13" t="s">
        <v>96</v>
      </c>
      <c r="F13">
        <v>101</v>
      </c>
      <c r="G13" t="s">
        <v>28</v>
      </c>
    </row>
    <row r="14" spans="1:7">
      <c r="A14" t="s">
        <v>112</v>
      </c>
      <c r="B14">
        <v>1</v>
      </c>
      <c r="C14" t="s">
        <v>109</v>
      </c>
      <c r="D14">
        <v>2010</v>
      </c>
      <c r="E14" t="s">
        <v>94</v>
      </c>
      <c r="F14">
        <v>514</v>
      </c>
      <c r="G14" t="s">
        <v>100</v>
      </c>
    </row>
    <row r="15" spans="1:7">
      <c r="A15" t="s">
        <v>69</v>
      </c>
      <c r="B15">
        <v>1</v>
      </c>
      <c r="C15" t="s">
        <v>109</v>
      </c>
      <c r="D15">
        <v>2010</v>
      </c>
      <c r="E15" t="s">
        <v>96</v>
      </c>
      <c r="F15">
        <v>101</v>
      </c>
      <c r="G15" t="s">
        <v>99</v>
      </c>
    </row>
    <row r="16" spans="1:7">
      <c r="A16" t="s">
        <v>71</v>
      </c>
      <c r="B16">
        <v>1</v>
      </c>
      <c r="C16" t="s">
        <v>107</v>
      </c>
      <c r="D16">
        <v>2009</v>
      </c>
      <c r="E16" t="s">
        <v>90</v>
      </c>
      <c r="F16">
        <v>100</v>
      </c>
      <c r="G16" t="s">
        <v>98</v>
      </c>
    </row>
    <row r="18" spans="1:1">
      <c r="A1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instructor</vt:lpstr>
      <vt:lpstr>3-16</vt:lpstr>
      <vt:lpstr>teaches</vt:lpstr>
      <vt:lpstr>course</vt:lpstr>
      <vt:lpstr>prereq</vt:lpstr>
      <vt:lpstr>department</vt:lpstr>
      <vt:lpstr>section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袁孜健</dc:creator>
  <cp:lastModifiedBy>Unyaz</cp:lastModifiedBy>
  <dcterms:created xsi:type="dcterms:W3CDTF">2015-06-05T18:19:34Z</dcterms:created>
  <dcterms:modified xsi:type="dcterms:W3CDTF">2026-02-13T04:17:36Z</dcterms:modified>
</cp:coreProperties>
</file>